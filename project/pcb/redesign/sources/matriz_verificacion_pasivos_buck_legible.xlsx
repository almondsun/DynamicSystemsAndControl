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Guía" sheetId="2" state="visible" r:id="rId4"/>
  </sheets>
  <definedNames>
    <definedName function="false" hidden="false" localSheetId="0" name="_xlnm.Print_Titles" vbProcedure="false">Matriz!$1:$1</definedName>
    <definedName function="false" hidden="true" localSheetId="0" name="_xlnm._FilterDatabase" vbProcedure="false">Matriz!$A$1:$I$36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<sst xmlns="http://schemas.openxmlformats.org/spreadsheetml/2006/main" count="360" uniqueCount="210">
  <si>
    <t xml:space="preserve">ref</t>
  </si>
  <si>
    <t xml:space="preserve">mpn</t>
  </si>
  <si>
    <t xml:space="preserve">code</t>
  </si>
  <si>
    <t xml:space="preserve">tech</t>
  </si>
  <si>
    <t xml:space="preserve">stress</t>
  </si>
  <si>
    <t xml:space="preserve">rating</t>
  </si>
  <si>
    <t xml:space="preserve">elec</t>
  </si>
  <si>
    <t xml:space="preserve">integ</t>
  </si>
  <si>
    <t xml:space="preserve">why</t>
  </si>
  <si>
    <t xml:space="preserve">L1</t>
  </si>
  <si>
    <t xml:space="preserve">Murata 60B334C</t>
  </si>
  <si>
    <t xml:space="preserve">C6823957</t>
  </si>
  <si>
    <t xml:space="preserve">330 µH ±15 %, SMD 6000B</t>
  </si>
  <si>
    <t xml:space="preserve">I_RMS ≤1,470 A; I_pk ≤1,775 A; P_Cu≈0,217 W a 85 °C</t>
  </si>
  <si>
    <t xml:space="preserve">4 A bajo criterio L≥75 % o ΔT≤40 °C; DCR máx 80 mΩ, ambiente −40…85 °C</t>
  </si>
  <si>
    <t xml:space="preserve">PENDIENTE</t>
  </si>
  <si>
    <t xml:space="preserve">PENDIENTE — CRÍTICO</t>
  </si>
  <si>
    <t xml:space="preserve">Inductancia efectiva por bobina debe sostener L_total≥528 µH; a −15 % inicial quedan 561 µH y solo 5,9 % de pérdida admisible. Curva L(I,T) y pérdidas núcleo ausentes; land Murata obligatorio.</t>
  </si>
  <si>
    <t xml:space="preserve">L2</t>
  </si>
  <si>
    <t xml:space="preserve">Igual L1; las dos bobinas en serie conducen misma corriente</t>
  </si>
  <si>
    <t xml:space="preserve">Igual L1; DCR total máx 160 mΩ a referencia</t>
  </si>
  <si>
    <t xml:space="preserve">Comprobar influencia de proximidad/acoplamiento: L_eq = L1+L2±2M. Validar I de saturación por condición de 80 % del nominal y temperatura.</t>
  </si>
  <si>
    <t xml:space="preserve">C1</t>
  </si>
  <si>
    <t xml:space="preserve">Panasonic 25SVPF100M</t>
  </si>
  <si>
    <t xml:space="preserve">C136279</t>
  </si>
  <si>
    <t xml:space="preserve">100 µF ±20 %, 25 V, OS-CON E7 Ø8×6,9 mm</t>
  </si>
  <si>
    <t xml:space="preserve">I_C,RMS por unidad ≥0,60 A a 10 kHz; V≤13,2 V</t>
  </si>
  <si>
    <t xml:space="preserve">2,24 A a 10 kHz/≤105 °C (3,2 A @100 kHz×0,7); ESR≤24 mΩ @100 kHz</t>
  </si>
  <si>
    <t xml:space="preserve">APROBADO (rizado y tensión)</t>
  </si>
  <si>
    <t xml:space="preserve">PENDIENTE — MEDIO</t>
  </si>
  <si>
    <t xml:space="preserve">Margen I_ripple 3,73× y VDC 1,89×. Verificar C_banco efectiva≥160 µF con vida/temperatura y ESR @10k; land E7 y polaridad. 160 µF es mínimo por tolerancia inicial, no de vida.</t>
  </si>
  <si>
    <t xml:space="preserve">C2</t>
  </si>
  <si>
    <t xml:space="preserve">C3</t>
  </si>
  <si>
    <t xml:space="preserve">Yageo CC0603KRX7R9BB104</t>
  </si>
  <si>
    <t xml:space="preserve">C14663</t>
  </si>
  <si>
    <t xml:space="preserve">100 nF ±10 %, 50 V X7R 0603</t>
  </si>
  <si>
    <t xml:space="preserve">Desacoplo VIN potencia; Vdc≤13,2 V</t>
  </si>
  <si>
    <t xml:space="preserve">50 V; −55…125 °C nominales; C_min nominal 90 nF antes de DC/T/edad</t>
  </si>
  <si>
    <t xml:space="preserve">APROBADO (tensión/temperatura nominal)</t>
  </si>
  <si>
    <t xml:space="preserve">PENDIENTE — BAJO</t>
  </si>
  <si>
    <t xml:space="preserve">Retención de ≥70 nF con DC/temperatura y proximidad Q1/D1; exigir evidencia capacitancia efectiva y ubicación.</t>
  </si>
  <si>
    <t xml:space="preserve">C4</t>
  </si>
  <si>
    <t xml:space="preserve">Panasonic 50SVF10M</t>
  </si>
  <si>
    <t xml:space="preserve">C454354</t>
  </si>
  <si>
    <t xml:space="preserve">10 µF ±20 %, 50 V, OS-CON C6 Ø6,3×5,9 mm</t>
  </si>
  <si>
    <t xml:space="preserve">I_C,RMS por unidad ≥0,15 A @10 kHz; V≤20 V transitorio supuesto</t>
  </si>
  <si>
    <t xml:space="preserve">1,75 A @10 kHz y ≤105 °C (2,5 A @100k×0,7); ESR≤40 mΩ @100 kHz</t>
  </si>
  <si>
    <t xml:space="preserve">PENDIENTE — ALTO</t>
  </si>
  <si>
    <t xml:space="preserve">Margen corriente 11,7× y tensión nominal ≥2,5× frente a 20 V hipotéticos. C_banco efectiva≥16 µF a vida/temperatura no demostrada; ESR @10 kHz y estabilidad PI; land C6 y polaridad.</t>
  </si>
  <si>
    <t xml:space="preserve">C5</t>
  </si>
  <si>
    <t xml:space="preserve">C6</t>
  </si>
  <si>
    <t xml:space="preserve">Samsung CL21B105KBFNNNE</t>
  </si>
  <si>
    <t xml:space="preserve">C28323</t>
  </si>
  <si>
    <t xml:space="preserve">1 µF ±10 %, 50 V X7R 0805</t>
  </si>
  <si>
    <t xml:space="preserve">Q_boot≈259 nC por pulso de 95 µs (hipótesis); ΔVBS=0,259 V si Ceff=1µF</t>
  </si>
  <si>
    <t xml:space="preserve">1µF solo nominal; límite −10 % ya es 0,9µF a 0 V; sesgo DC resta más</t>
  </si>
  <si>
    <t xml:space="preserve">No se demuestra objetivo Ceff≥1 µF. Evaluar C6 en 10–13 V DC, tiempos off de 5µs, carga inicial y VBS/VGS; reservar posibilidad segundo MLCC sin poblar a ciegas.</t>
  </si>
  <si>
    <t xml:space="preserve">C7</t>
  </si>
  <si>
    <t xml:space="preserve">Desacoplo VCC driver IR2110; Vdc≤13,2 V</t>
  </si>
  <si>
    <t xml:space="preserve">100 nF no demuestra reserva de carga de bootstrap; ver eventual C18 local; exigir evidencia capacitancia efectiva y ubicación.</t>
  </si>
  <si>
    <t xml:space="preserve">C8</t>
  </si>
  <si>
    <t xml:space="preserve">Desacoplo VDD IR2110; Vdc≤5,25 V</t>
  </si>
  <si>
    <t xml:space="preserve">Retención ≥70 nF, pines reales del SOIC-16; exigir evidencia capacitancia efectiva y ubicación.</t>
  </si>
  <si>
    <t xml:space="preserve">C9</t>
  </si>
  <si>
    <t xml:space="preserve">Samsung CL21B334KBFNNNE</t>
  </si>
  <si>
    <t xml:space="preserve">C73142</t>
  </si>
  <si>
    <t xml:space="preserve">330 nF ±10 %, 50 V X7R 0805</t>
  </si>
  <si>
    <t xml:space="preserve">VIN≤13,2 V; CI del esquema 78M05=330 nF nominal</t>
  </si>
  <si>
    <t xml:space="preserve">50 V nominal, X7R; DC bias y vida sin límite garantizado recuperado</t>
  </si>
  <si>
    <t xml:space="preserve">APROBADO (valor nominal/tensión)</t>
  </si>
  <si>
    <t xml:space="preserve">No trasladar CI nominal de aplicación de UMW a mínimo efectivo garantizado; revisar necesidad de ESR/localidad.</t>
  </si>
  <si>
    <t xml:space="preserve">C10</t>
  </si>
  <si>
    <t xml:space="preserve">Desacoplo salida 78M05; Vdc≤5,25 V</t>
  </si>
  <si>
    <t xml:space="preserve">Estabilidad con C11 y ESR del regulador UMW no demostrada; exigir evidencia capacitancia efectiva y ubicación.</t>
  </si>
  <si>
    <t xml:space="preserve">C11</t>
  </si>
  <si>
    <t xml:space="preserve">Samsung CL21A106KAYNNNE</t>
  </si>
  <si>
    <t xml:space="preserve">C15850</t>
  </si>
  <si>
    <t xml:space="preserve">10 µF ±10 %, 25 V X5R 0805</t>
  </si>
  <si>
    <t xml:space="preserve">V5 máximo supuesto 5,25 V; objetivo Ceff≥5µF</t>
  </si>
  <si>
    <t xml:space="preserve">25 V, X5R; a mínima tolerancia 9µF, requiere retención adicional ≥55,6 %</t>
  </si>
  <si>
    <t xml:space="preserve">APROBADO (tensión nominal)</t>
  </si>
  <si>
    <t xml:space="preserve">Curva de DC bias del MPN y ESR/estabilidad del UMW 78M05 no certificadas para todo el rango.</t>
  </si>
  <si>
    <t xml:space="preserve">C12</t>
  </si>
  <si>
    <t xml:space="preserve">Bypass SN74HCT14; Vdc≤5,25 V</t>
  </si>
  <si>
    <t xml:space="preserve">Posición y retorno para conmutación HCT14; exigir evidencia capacitancia efectiva y ubicación.</t>
  </si>
  <si>
    <t xml:space="preserve">C13</t>
  </si>
  <si>
    <t xml:space="preserve">Bypass SN74HCT00; Vdc≤5,25 V</t>
  </si>
  <si>
    <t xml:space="preserve">Posición y retorno para latch NAND; exigir evidencia capacitancia efectiva y ubicación.</t>
  </si>
  <si>
    <t xml:space="preserve">C14</t>
  </si>
  <si>
    <t xml:space="preserve">Bypass LM393B; Vdc≤5,25 V</t>
  </si>
  <si>
    <t xml:space="preserve">Posición y retorno para comparador real; exigir evidencia capacitancia efectiva y ubicación.</t>
  </si>
  <si>
    <t xml:space="preserve">C15</t>
  </si>
  <si>
    <t xml:space="preserve">Filtro VREF; Vdc≤2,13 V</t>
  </si>
  <si>
    <t xml:space="preserve">τ = (15k||10k)×100nF =0,600 ms nominal; referencia tarda ~3ms en asentarse; exigir evidencia capacitancia efectiva y ubicación.</t>
  </si>
  <si>
    <t xml:space="preserve">C16</t>
  </si>
  <si>
    <t xml:space="preserve">Yageo CC0603KRX7R9BB224</t>
  </si>
  <si>
    <t xml:space="preserve">C107083</t>
  </si>
  <si>
    <t xml:space="preserve">220 nF ±10 %, 50 V X7R 0603 (cambio del original 100 nF)</t>
  </si>
  <si>
    <t xml:space="preserve">Bypass INA180A1; recomendación TI 100 nF local</t>
  </si>
  <si>
    <t xml:space="preserve">220nF inicial; min tolerancia 198nF; X7R ±15 % rango T</t>
  </si>
  <si>
    <t xml:space="preserve">Valor elegido 220 nF difiere de esquema histórico 100nF. Ceff≥100nF no demostrada: DC bias/edad/posición; confirmar aceptación del cambio.</t>
  </si>
  <si>
    <t xml:space="preserve">C17</t>
  </si>
  <si>
    <t xml:space="preserve">Fenghua 0603CG102J500NT</t>
  </si>
  <si>
    <t xml:space="preserve">C1636</t>
  </si>
  <si>
    <t xml:space="preserve">1 nF ±5 %, 50 V C0G 0603</t>
  </si>
  <si>
    <t xml:space="preserve">VADC≤~3,35 V a VOUT=13,2 V y tolerancias; τ=0,75µs</t>
  </si>
  <si>
    <t xml:space="preserve">50 V, C0G; variación muy baja frente a X7R</t>
  </si>
  <si>
    <t xml:space="preserve">APROBADO (tensión/estabilidad nominal)</t>
  </si>
  <si>
    <t xml:space="preserve">El filtro atenúa 10kHz solo 0,11 %; revisar adquisición ADC y seguridad frente a sobrevoltaje, independiente del rating del capacitor.</t>
  </si>
  <si>
    <t xml:space="preserve">R1</t>
  </si>
  <si>
    <t xml:space="preserve">UNI-ROYAL 0805W8F100JT5E</t>
  </si>
  <si>
    <t xml:space="preserve">C17415</t>
  </si>
  <si>
    <t xml:space="preserve">10 Ω ±1 %, 0805; 0,125 W</t>
  </si>
  <si>
    <t xml:space="preserve">≈1,33 A pico ideal; ≈17,6 W pico; 13,2 mW de energía gate total</t>
  </si>
  <si>
    <t xml:space="preserve">Resistencias 0603: 0,1 W @70 °C, ≈0,082 W @85 °C; 0805 0,125 W (curva distinta según serie)</t>
  </si>
  <si>
    <t xml:space="preserve">Curva de pulsos repetitivos no contrastada; 13,2 mW es potencia total simplificada, no la que disipa necesariamente R1.</t>
  </si>
  <si>
    <t xml:space="preserve">RS1</t>
  </si>
  <si>
    <t xml:space="preserve">TA-I RLP25FEER050</t>
  </si>
  <si>
    <t xml:space="preserve">C160588</t>
  </si>
  <si>
    <t xml:space="preserve">50 mΩ ±1 %, 2512, ±50 ppm/°C</t>
  </si>
  <si>
    <t xml:space="preserve">P≤0,109 W normal; P≈0,316 W a 2,5 A; V≈0,126 V</t>
  </si>
  <si>
    <t xml:space="preserve">2 W nominales *solo bajo cobre 105 µm/área 300 mm²*; Toper −55…170 °C</t>
  </si>
  <si>
    <t xml:space="preserve">APROBADO (potencia calculada, no térmica)</t>
  </si>
  <si>
    <t xml:space="preserve">Con 1 oz (~35 µm) no atribuir 2 W. Demostrar derating y temperatura a 0,316 W; kelvin desde pads; land TA-I específico.</t>
  </si>
  <si>
    <t xml:space="preserve">R2</t>
  </si>
  <si>
    <t xml:space="preserve">UNI-ROYAL 0603WAF1002T5E</t>
  </si>
  <si>
    <t xml:space="preserve">C25804</t>
  </si>
  <si>
    <t xml:space="preserve">10 kΩ ±1 %, 0603; 0,1 W</t>
  </si>
  <si>
    <t xml:space="preserve">≤1,333 mA; ≤17,60 mW</t>
  </si>
  <si>
    <t xml:space="preserve">APROBADO (CC)</t>
  </si>
  <si>
    <t xml:space="preserve">Su descarga gate agrega consumo al bootstrap en cada ciclo; validar VBS.</t>
  </si>
  <si>
    <t xml:space="preserve">R3</t>
  </si>
  <si>
    <t xml:space="preserve">≤0,483 mA; ≤2,31 mW</t>
  </si>
  <si>
    <t xml:space="preserve">Revisión inyección hacia MCU apagado.</t>
  </si>
  <si>
    <t xml:space="preserve">R4</t>
  </si>
  <si>
    <t xml:space="preserve">UNI-ROYAL 0603WAF1001T5E</t>
  </si>
  <si>
    <t xml:space="preserve">C21190</t>
  </si>
  <si>
    <t xml:space="preserve">1 kΩ ±1 %, 0603; 0,1 W</t>
  </si>
  <si>
    <t xml:space="preserve">≤5,303 mA; ≤27,84 mW</t>
  </si>
  <si>
    <t xml:space="preserve">Corriente interfaz con MCU desconectado o sin alimentación.</t>
  </si>
  <si>
    <t xml:space="preserve">R5</t>
  </si>
  <si>
    <t xml:space="preserve">≤0,350 mA; ≤1,21 mW</t>
  </si>
  <si>
    <t xml:space="preserve">Pull-down RUN y estado arranque.</t>
  </si>
  <si>
    <t xml:space="preserve">R6</t>
  </si>
  <si>
    <t xml:space="preserve">Pull-down RESET y estado arranque.</t>
  </si>
  <si>
    <t xml:space="preserve">R7</t>
  </si>
  <si>
    <t xml:space="preserve">UNI-ROYAL 0603WAF4701T5E</t>
  </si>
  <si>
    <t xml:space="preserve">C23162</t>
  </si>
  <si>
    <t xml:space="preserve">4,7 kΩ ±1 %, 0603; 0,1 W</t>
  </si>
  <si>
    <t xml:space="preserve">≤1,128 mA; ≤5,92 mW</t>
  </si>
  <si>
    <t xml:space="preserve">VOL salida open collector LM393B.</t>
  </si>
  <si>
    <t xml:space="preserve">R8</t>
  </si>
  <si>
    <t xml:space="preserve">UNI-ROYAL 0603WAF1502T5E</t>
  </si>
  <si>
    <t xml:space="preserve">C22809</t>
  </si>
  <si>
    <t xml:space="preserve">15 kΩ ±1 %, 0603; 0,1 W</t>
  </si>
  <si>
    <t xml:space="preserve">≤0,214 mA; ≤0,679 mW</t>
  </si>
  <si>
    <t xml:space="preserve">Umbral VREF influido por tolerancia y TCR pareja R8/R9.</t>
  </si>
  <si>
    <t xml:space="preserve">R9</t>
  </si>
  <si>
    <t xml:space="preserve">≤0,215 mA; ≤0,456 mW</t>
  </si>
  <si>
    <t xml:space="preserve">R10</t>
  </si>
  <si>
    <t xml:space="preserve">Vishay CRCW060330K9FKEA</t>
  </si>
  <si>
    <t xml:space="preserve">C844354</t>
  </si>
  <si>
    <t xml:space="preserve">30,9 kΩ ±1 %, 0603; 0,1 W (alternativa adoptada)</t>
  </si>
  <si>
    <t xml:space="preserve">&lt;0,33 mA; ≤3,3 mW a 13,2 V, ≈7,5mW a 20 V</t>
  </si>
  <si>
    <t xml:space="preserve">Valor no es original 31kΩ; V_OVP nominal=8,18 V en vez de 8,20 V, diferencia 0,24 %; requiere aceptar funcionalmente cambio.</t>
  </si>
  <si>
    <t xml:space="preserve">R11</t>
  </si>
  <si>
    <t xml:space="preserve">≤0,330 mA; ≤1,08 mW a 13,2 V</t>
  </si>
  <si>
    <t xml:space="preserve">Tolerancia/TCR y valor final R10 afectan umbral OVP.</t>
  </si>
  <si>
    <t xml:space="preserve">R12</t>
  </si>
  <si>
    <t xml:space="preserve">≤0,480 mA; ≤2,28 mW</t>
  </si>
  <si>
    <t xml:space="preserve">Corriente de base y pinout Q2 SMD.</t>
  </si>
  <si>
    <t xml:space="preserve">R13</t>
  </si>
  <si>
    <t xml:space="preserve">Pull-up NFAULT_MCU a 3,3 V, no a 5 V.</t>
  </si>
  <si>
    <t xml:space="preserve">R14</t>
  </si>
  <si>
    <t xml:space="preserve">UNI-ROYAL 0603WAF3001T5E</t>
  </si>
  <si>
    <t xml:space="preserve">C4211</t>
  </si>
  <si>
    <t xml:space="preserve">3 kΩ ±1 %, 0603; 0,1 W</t>
  </si>
  <si>
    <t xml:space="preserve">33,3 mW a 13,2 V; ≈76,5 mW a 20 V</t>
  </si>
  <si>
    <t xml:space="preserve">APROBADO (CC ≤13,2V)</t>
  </si>
  <si>
    <t xml:space="preserve">A 20V la potencia equivalente continua casi agota derating; determinar energía de pulso. Además VSENSE≈5,0V pone en riesgo PA0.</t>
  </si>
  <si>
    <t xml:space="preserve">R15</t>
  </si>
  <si>
    <t xml:space="preserve">11,33 mW a 13,2 V; ≈26mW a 20 V</t>
  </si>
  <si>
    <t xml:space="preserve">El componente soporta potencia, pero el divisor R14/R15 no protege el ADC en transitorios.</t>
  </si>
  <si>
    <t xml:space="preserve">Guía de lectura</t>
  </si>
  <si>
    <t xml:space="preserve">Nota</t>
  </si>
  <si>
    <t xml:space="preserve">Hoja "Matriz": datos idénticos al CSV original (35 filas × 9 columnas); solo se cambió el formato. Esta hoja es un añadido para orientar la lectura; las descripciones de columnas son interpretación a partir de su contenido.</t>
  </si>
  <si>
    <t xml:space="preserve">Columna</t>
  </si>
  <si>
    <t xml:space="preserve">Qué contiene</t>
  </si>
  <si>
    <t xml:space="preserve">Designador del componente en el esquema (L=inductor, C=capacitor, R=resistencia, RS=resistencia de sensado).</t>
  </si>
  <si>
    <t xml:space="preserve">Fabricante y número de parte.</t>
  </si>
  <si>
    <t xml:space="preserve">Código de catálogo del proveedor (formato "C…").</t>
  </si>
  <si>
    <t xml:space="preserve">Valor, tolerancia, tensión y encapsulado.</t>
  </si>
  <si>
    <t xml:space="preserve">Esfuerzo esperado en el circuito (corrientes, tensiones, potencias).</t>
  </si>
  <si>
    <t xml:space="preserve">Capacidad nominal del componente frente a ese esfuerzo.</t>
  </si>
  <si>
    <t xml:space="preserve">Veredicto eléctrico: APROBADO o PENDIENTE.</t>
  </si>
  <si>
    <t xml:space="preserve">Verificación de integración (curvas, layout/land, efectiva con DC bias, etc.) con nivel de criticidad: CRÍTICO / ALTO / MEDIO / BAJO.</t>
  </si>
  <si>
    <t xml:space="preserve">Justificación y qué falta por verificar.</t>
  </si>
  <si>
    <t xml:space="preserve">Colores (col. integ)</t>
  </si>
  <si>
    <t xml:space="preserve">Rojo = CRÍTICO · Naranja = ALTO · Amarillo = MEDIO · Verde = BAJO</t>
  </si>
  <si>
    <t xml:space="preserve">Colores (col. elec)</t>
  </si>
  <si>
    <t xml:space="preserve">Verde = APROBADO · Amarillo = PENDIENTE</t>
  </si>
  <si>
    <t xml:space="preserve">Resumen</t>
  </si>
  <si>
    <t xml:space="preserve">Conteo (fórmulas sobre la hoja Matriz)</t>
  </si>
  <si>
    <t xml:space="preserve">CRÍTICO</t>
  </si>
  <si>
    <t xml:space="preserve">ALTO</t>
  </si>
  <si>
    <t xml:space="preserve">MEDIO</t>
  </si>
  <si>
    <t xml:space="preserve">BAJO</t>
  </si>
  <si>
    <t xml:space="preserve">Total filas</t>
  </si>
  <si>
    <t xml:space="preserve">elec = APROBADO</t>
  </si>
  <si>
    <t xml:space="preserve">elec = PENDIENTE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</si>
</sst>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F4B6B6"/>
        <bgColor rgb="FFF8CBAD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4B6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4.25" hidden="false" customHeight="true" outlineLevel="0" collapsed="false">
      <c r="A2" s="2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5" t="s">
        <v>15</v>
      </c>
      <c r="H2" s="6" t="s">
        <v>16</v>
      </c>
      <c r="I2" s="3" t="s">
        <v>17</v>
      </c>
    </row>
    <row r="3" customFormat="false" ht="44.25" hidden="false" customHeight="true" outlineLevel="0" collapsed="false">
      <c r="A3" s="2" t="s">
        <v>18</v>
      </c>
      <c r="B3" s="3" t="s">
        <v>10</v>
      </c>
      <c r="C3" s="4" t="s">
        <v>11</v>
      </c>
      <c r="D3" s="3" t="s">
        <v>12</v>
      </c>
      <c r="E3" s="3" t="s">
        <v>19</v>
      </c>
      <c r="F3" s="3" t="s">
        <v>20</v>
      </c>
      <c r="G3" s="5" t="s">
        <v>15</v>
      </c>
      <c r="H3" s="6" t="s">
        <v>16</v>
      </c>
      <c r="I3" s="3" t="s">
        <v>21</v>
      </c>
    </row>
    <row r="4" customFormat="false" ht="44.25" hidden="false" customHeight="true" outlineLevel="0" collapsed="false">
      <c r="A4" s="2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 t="s">
        <v>27</v>
      </c>
      <c r="G4" s="7" t="s">
        <v>28</v>
      </c>
      <c r="H4" s="8" t="s">
        <v>29</v>
      </c>
      <c r="I4" s="3" t="s">
        <v>30</v>
      </c>
    </row>
    <row r="5" customFormat="false" ht="44.25" hidden="false" customHeight="true" outlineLevel="0" collapsed="false">
      <c r="A5" s="2" t="s">
        <v>31</v>
      </c>
      <c r="B5" s="3" t="s">
        <v>23</v>
      </c>
      <c r="C5" s="4" t="s">
        <v>24</v>
      </c>
      <c r="D5" s="3" t="s">
        <v>25</v>
      </c>
      <c r="E5" s="3" t="s">
        <v>26</v>
      </c>
      <c r="F5" s="3" t="s">
        <v>27</v>
      </c>
      <c r="G5" s="7" t="s">
        <v>28</v>
      </c>
      <c r="H5" s="8" t="s">
        <v>29</v>
      </c>
      <c r="I5" s="3" t="s">
        <v>30</v>
      </c>
    </row>
    <row r="6" customFormat="false" ht="30.75" hidden="false" customHeight="true" outlineLevel="0" collapsed="false">
      <c r="A6" s="2" t="s">
        <v>32</v>
      </c>
      <c r="B6" s="3" t="s">
        <v>33</v>
      </c>
      <c r="C6" s="4" t="s">
        <v>34</v>
      </c>
      <c r="D6" s="3" t="s">
        <v>35</v>
      </c>
      <c r="E6" s="3" t="s">
        <v>36</v>
      </c>
      <c r="F6" s="3" t="s">
        <v>37</v>
      </c>
      <c r="G6" s="7" t="s">
        <v>38</v>
      </c>
      <c r="H6" s="9" t="s">
        <v>39</v>
      </c>
      <c r="I6" s="3" t="s">
        <v>40</v>
      </c>
    </row>
    <row r="7" customFormat="false" ht="44.25" hidden="false" customHeight="true" outlineLevel="0" collapsed="false">
      <c r="A7" s="2" t="s">
        <v>41</v>
      </c>
      <c r="B7" s="3" t="s">
        <v>42</v>
      </c>
      <c r="C7" s="4" t="s">
        <v>43</v>
      </c>
      <c r="D7" s="3" t="s">
        <v>44</v>
      </c>
      <c r="E7" s="3" t="s">
        <v>45</v>
      </c>
      <c r="F7" s="3" t="s">
        <v>46</v>
      </c>
      <c r="G7" s="7" t="s">
        <v>28</v>
      </c>
      <c r="H7" s="10" t="s">
        <v>47</v>
      </c>
      <c r="I7" s="3" t="s">
        <v>48</v>
      </c>
    </row>
    <row r="8" customFormat="false" ht="44.25" hidden="false" customHeight="true" outlineLevel="0" collapsed="false">
      <c r="A8" s="2" t="s">
        <v>49</v>
      </c>
      <c r="B8" s="3" t="s">
        <v>42</v>
      </c>
      <c r="C8" s="4" t="s">
        <v>43</v>
      </c>
      <c r="D8" s="3" t="s">
        <v>44</v>
      </c>
      <c r="E8" s="3" t="s">
        <v>45</v>
      </c>
      <c r="F8" s="3" t="s">
        <v>46</v>
      </c>
      <c r="G8" s="7" t="s">
        <v>28</v>
      </c>
      <c r="H8" s="10" t="s">
        <v>47</v>
      </c>
      <c r="I8" s="3" t="s">
        <v>48</v>
      </c>
    </row>
    <row r="9" customFormat="false" ht="44.25" hidden="false" customHeight="true" outlineLevel="0" collapsed="false">
      <c r="A9" s="2" t="s">
        <v>50</v>
      </c>
      <c r="B9" s="3" t="s">
        <v>51</v>
      </c>
      <c r="C9" s="4" t="s">
        <v>52</v>
      </c>
      <c r="D9" s="3" t="s">
        <v>53</v>
      </c>
      <c r="E9" s="3" t="s">
        <v>54</v>
      </c>
      <c r="F9" s="3" t="s">
        <v>55</v>
      </c>
      <c r="G9" s="5" t="s">
        <v>15</v>
      </c>
      <c r="H9" s="6" t="s">
        <v>16</v>
      </c>
      <c r="I9" s="3" t="s">
        <v>56</v>
      </c>
    </row>
    <row r="10" customFormat="false" ht="30.75" hidden="false" customHeight="true" outlineLevel="0" collapsed="false">
      <c r="A10" s="2" t="s">
        <v>57</v>
      </c>
      <c r="B10" s="3" t="s">
        <v>33</v>
      </c>
      <c r="C10" s="4" t="s">
        <v>34</v>
      </c>
      <c r="D10" s="3" t="s">
        <v>35</v>
      </c>
      <c r="E10" s="3" t="s">
        <v>58</v>
      </c>
      <c r="F10" s="3" t="s">
        <v>37</v>
      </c>
      <c r="G10" s="7" t="s">
        <v>38</v>
      </c>
      <c r="H10" s="6" t="s">
        <v>16</v>
      </c>
      <c r="I10" s="3" t="s">
        <v>59</v>
      </c>
    </row>
    <row r="11" customFormat="false" ht="30.75" hidden="false" customHeight="true" outlineLevel="0" collapsed="false">
      <c r="A11" s="2" t="s">
        <v>60</v>
      </c>
      <c r="B11" s="3" t="s">
        <v>33</v>
      </c>
      <c r="C11" s="4" t="s">
        <v>34</v>
      </c>
      <c r="D11" s="3" t="s">
        <v>35</v>
      </c>
      <c r="E11" s="3" t="s">
        <v>61</v>
      </c>
      <c r="F11" s="3" t="s">
        <v>37</v>
      </c>
      <c r="G11" s="7" t="s">
        <v>38</v>
      </c>
      <c r="H11" s="9" t="s">
        <v>39</v>
      </c>
      <c r="I11" s="3" t="s">
        <v>62</v>
      </c>
    </row>
    <row r="12" customFormat="false" ht="30.75" hidden="false" customHeight="true" outlineLevel="0" collapsed="false">
      <c r="A12" s="2" t="s">
        <v>63</v>
      </c>
      <c r="B12" s="3" t="s">
        <v>64</v>
      </c>
      <c r="C12" s="4" t="s">
        <v>65</v>
      </c>
      <c r="D12" s="3" t="s">
        <v>66</v>
      </c>
      <c r="E12" s="3" t="s">
        <v>67</v>
      </c>
      <c r="F12" s="3" t="s">
        <v>68</v>
      </c>
      <c r="G12" s="7" t="s">
        <v>69</v>
      </c>
      <c r="H12" s="8" t="s">
        <v>29</v>
      </c>
      <c r="I12" s="3" t="s">
        <v>70</v>
      </c>
    </row>
    <row r="13" customFormat="false" ht="30.75" hidden="false" customHeight="true" outlineLevel="0" collapsed="false">
      <c r="A13" s="2" t="s">
        <v>71</v>
      </c>
      <c r="B13" s="3" t="s">
        <v>33</v>
      </c>
      <c r="C13" s="4" t="s">
        <v>34</v>
      </c>
      <c r="D13" s="3" t="s">
        <v>35</v>
      </c>
      <c r="E13" s="3" t="s">
        <v>72</v>
      </c>
      <c r="F13" s="3" t="s">
        <v>37</v>
      </c>
      <c r="G13" s="7" t="s">
        <v>38</v>
      </c>
      <c r="H13" s="9" t="s">
        <v>39</v>
      </c>
      <c r="I13" s="3" t="s">
        <v>73</v>
      </c>
    </row>
    <row r="14" customFormat="false" ht="30.75" hidden="false" customHeight="true" outlineLevel="0" collapsed="false">
      <c r="A14" s="2" t="s">
        <v>74</v>
      </c>
      <c r="B14" s="3" t="s">
        <v>75</v>
      </c>
      <c r="C14" s="4" t="s">
        <v>76</v>
      </c>
      <c r="D14" s="3" t="s">
        <v>77</v>
      </c>
      <c r="E14" s="3" t="s">
        <v>78</v>
      </c>
      <c r="F14" s="3" t="s">
        <v>79</v>
      </c>
      <c r="G14" s="7" t="s">
        <v>80</v>
      </c>
      <c r="H14" s="8" t="s">
        <v>29</v>
      </c>
      <c r="I14" s="3" t="s">
        <v>81</v>
      </c>
    </row>
    <row r="15" customFormat="false" ht="30.75" hidden="false" customHeight="true" outlineLevel="0" collapsed="false">
      <c r="A15" s="2" t="s">
        <v>82</v>
      </c>
      <c r="B15" s="3" t="s">
        <v>33</v>
      </c>
      <c r="C15" s="4" t="s">
        <v>34</v>
      </c>
      <c r="D15" s="3" t="s">
        <v>35</v>
      </c>
      <c r="E15" s="3" t="s">
        <v>83</v>
      </c>
      <c r="F15" s="3" t="s">
        <v>37</v>
      </c>
      <c r="G15" s="7" t="s">
        <v>38</v>
      </c>
      <c r="H15" s="9" t="s">
        <v>39</v>
      </c>
      <c r="I15" s="3" t="s">
        <v>84</v>
      </c>
    </row>
    <row r="16" customFormat="false" ht="30.75" hidden="false" customHeight="true" outlineLevel="0" collapsed="false">
      <c r="A16" s="2" t="s">
        <v>85</v>
      </c>
      <c r="B16" s="3" t="s">
        <v>33</v>
      </c>
      <c r="C16" s="4" t="s">
        <v>34</v>
      </c>
      <c r="D16" s="3" t="s">
        <v>35</v>
      </c>
      <c r="E16" s="3" t="s">
        <v>86</v>
      </c>
      <c r="F16" s="3" t="s">
        <v>37</v>
      </c>
      <c r="G16" s="7" t="s">
        <v>38</v>
      </c>
      <c r="H16" s="9" t="s">
        <v>39</v>
      </c>
      <c r="I16" s="3" t="s">
        <v>87</v>
      </c>
    </row>
    <row r="17" customFormat="false" ht="30.75" hidden="false" customHeight="true" outlineLevel="0" collapsed="false">
      <c r="A17" s="2" t="s">
        <v>88</v>
      </c>
      <c r="B17" s="3" t="s">
        <v>33</v>
      </c>
      <c r="C17" s="4" t="s">
        <v>34</v>
      </c>
      <c r="D17" s="3" t="s">
        <v>35</v>
      </c>
      <c r="E17" s="3" t="s">
        <v>89</v>
      </c>
      <c r="F17" s="3" t="s">
        <v>37</v>
      </c>
      <c r="G17" s="7" t="s">
        <v>38</v>
      </c>
      <c r="H17" s="9" t="s">
        <v>39</v>
      </c>
      <c r="I17" s="3" t="s">
        <v>90</v>
      </c>
    </row>
    <row r="18" customFormat="false" ht="30.75" hidden="false" customHeight="true" outlineLevel="0" collapsed="false">
      <c r="A18" s="2" t="s">
        <v>91</v>
      </c>
      <c r="B18" s="3" t="s">
        <v>33</v>
      </c>
      <c r="C18" s="4" t="s">
        <v>34</v>
      </c>
      <c r="D18" s="3" t="s">
        <v>35</v>
      </c>
      <c r="E18" s="3" t="s">
        <v>92</v>
      </c>
      <c r="F18" s="3" t="s">
        <v>37</v>
      </c>
      <c r="G18" s="7" t="s">
        <v>38</v>
      </c>
      <c r="H18" s="9" t="s">
        <v>39</v>
      </c>
      <c r="I18" s="3" t="s">
        <v>93</v>
      </c>
    </row>
    <row r="19" customFormat="false" ht="44.25" hidden="false" customHeight="true" outlineLevel="0" collapsed="false">
      <c r="A19" s="2" t="s">
        <v>94</v>
      </c>
      <c r="B19" s="3" t="s">
        <v>95</v>
      </c>
      <c r="C19" s="4" t="s">
        <v>96</v>
      </c>
      <c r="D19" s="3" t="s">
        <v>97</v>
      </c>
      <c r="E19" s="3" t="s">
        <v>98</v>
      </c>
      <c r="F19" s="3" t="s">
        <v>99</v>
      </c>
      <c r="G19" s="7" t="s">
        <v>69</v>
      </c>
      <c r="H19" s="8" t="s">
        <v>29</v>
      </c>
      <c r="I19" s="3" t="s">
        <v>100</v>
      </c>
    </row>
    <row r="20" customFormat="false" ht="44.25" hidden="false" customHeight="true" outlineLevel="0" collapsed="false">
      <c r="A20" s="2" t="s">
        <v>101</v>
      </c>
      <c r="B20" s="3" t="s">
        <v>102</v>
      </c>
      <c r="C20" s="4" t="s">
        <v>103</v>
      </c>
      <c r="D20" s="3" t="s">
        <v>104</v>
      </c>
      <c r="E20" s="3" t="s">
        <v>105</v>
      </c>
      <c r="F20" s="3" t="s">
        <v>106</v>
      </c>
      <c r="G20" s="7" t="s">
        <v>107</v>
      </c>
      <c r="H20" s="8" t="s">
        <v>29</v>
      </c>
      <c r="I20" s="3" t="s">
        <v>108</v>
      </c>
    </row>
    <row r="21" customFormat="false" ht="44.25" hidden="false" customHeight="true" outlineLevel="0" collapsed="false">
      <c r="A21" s="2" t="s">
        <v>109</v>
      </c>
      <c r="B21" s="3" t="s">
        <v>110</v>
      </c>
      <c r="C21" s="4" t="s">
        <v>111</v>
      </c>
      <c r="D21" s="3" t="s">
        <v>112</v>
      </c>
      <c r="E21" s="3" t="s">
        <v>113</v>
      </c>
      <c r="F21" s="3" t="s">
        <v>114</v>
      </c>
      <c r="G21" s="5" t="s">
        <v>15</v>
      </c>
      <c r="H21" s="10" t="s">
        <v>47</v>
      </c>
      <c r="I21" s="3" t="s">
        <v>115</v>
      </c>
    </row>
    <row r="22" customFormat="false" ht="30.75" hidden="false" customHeight="true" outlineLevel="0" collapsed="false">
      <c r="A22" s="2" t="s">
        <v>116</v>
      </c>
      <c r="B22" s="3" t="s">
        <v>117</v>
      </c>
      <c r="C22" s="4" t="s">
        <v>118</v>
      </c>
      <c r="D22" s="3" t="s">
        <v>119</v>
      </c>
      <c r="E22" s="3" t="s">
        <v>120</v>
      </c>
      <c r="F22" s="3" t="s">
        <v>121</v>
      </c>
      <c r="G22" s="7" t="s">
        <v>122</v>
      </c>
      <c r="H22" s="10" t="s">
        <v>47</v>
      </c>
      <c r="I22" s="3" t="s">
        <v>123</v>
      </c>
    </row>
    <row r="23" customFormat="false" ht="44.25" hidden="false" customHeight="true" outlineLevel="0" collapsed="false">
      <c r="A23" s="2" t="s">
        <v>124</v>
      </c>
      <c r="B23" s="3" t="s">
        <v>125</v>
      </c>
      <c r="C23" s="4" t="s">
        <v>126</v>
      </c>
      <c r="D23" s="3" t="s">
        <v>127</v>
      </c>
      <c r="E23" s="3" t="s">
        <v>128</v>
      </c>
      <c r="F23" s="3" t="s">
        <v>114</v>
      </c>
      <c r="G23" s="7" t="s">
        <v>129</v>
      </c>
      <c r="H23" s="10" t="s">
        <v>47</v>
      </c>
      <c r="I23" s="3" t="s">
        <v>130</v>
      </c>
    </row>
    <row r="24" customFormat="false" ht="44.25" hidden="false" customHeight="true" outlineLevel="0" collapsed="false">
      <c r="A24" s="2" t="s">
        <v>131</v>
      </c>
      <c r="B24" s="3" t="s">
        <v>125</v>
      </c>
      <c r="C24" s="4" t="s">
        <v>126</v>
      </c>
      <c r="D24" s="3" t="s">
        <v>127</v>
      </c>
      <c r="E24" s="3" t="s">
        <v>132</v>
      </c>
      <c r="F24" s="3" t="s">
        <v>114</v>
      </c>
      <c r="G24" s="7" t="s">
        <v>129</v>
      </c>
      <c r="H24" s="9" t="s">
        <v>39</v>
      </c>
      <c r="I24" s="3" t="s">
        <v>133</v>
      </c>
    </row>
    <row r="25" customFormat="false" ht="44.25" hidden="false" customHeight="true" outlineLevel="0" collapsed="false">
      <c r="A25" s="2" t="s">
        <v>134</v>
      </c>
      <c r="B25" s="3" t="s">
        <v>135</v>
      </c>
      <c r="C25" s="4" t="s">
        <v>136</v>
      </c>
      <c r="D25" s="3" t="s">
        <v>137</v>
      </c>
      <c r="E25" s="3" t="s">
        <v>138</v>
      </c>
      <c r="F25" s="3" t="s">
        <v>114</v>
      </c>
      <c r="G25" s="7" t="s">
        <v>129</v>
      </c>
      <c r="H25" s="8" t="s">
        <v>29</v>
      </c>
      <c r="I25" s="3" t="s">
        <v>139</v>
      </c>
    </row>
    <row r="26" customFormat="false" ht="44.25" hidden="false" customHeight="true" outlineLevel="0" collapsed="false">
      <c r="A26" s="2" t="s">
        <v>140</v>
      </c>
      <c r="B26" s="3" t="s">
        <v>125</v>
      </c>
      <c r="C26" s="4" t="s">
        <v>126</v>
      </c>
      <c r="D26" s="3" t="s">
        <v>127</v>
      </c>
      <c r="E26" s="3" t="s">
        <v>141</v>
      </c>
      <c r="F26" s="3" t="s">
        <v>114</v>
      </c>
      <c r="G26" s="7" t="s">
        <v>129</v>
      </c>
      <c r="H26" s="9" t="s">
        <v>39</v>
      </c>
      <c r="I26" s="3" t="s">
        <v>142</v>
      </c>
    </row>
    <row r="27" customFormat="false" ht="44.25" hidden="false" customHeight="true" outlineLevel="0" collapsed="false">
      <c r="A27" s="2" t="s">
        <v>143</v>
      </c>
      <c r="B27" s="3" t="s">
        <v>125</v>
      </c>
      <c r="C27" s="4" t="s">
        <v>126</v>
      </c>
      <c r="D27" s="3" t="s">
        <v>127</v>
      </c>
      <c r="E27" s="3" t="s">
        <v>141</v>
      </c>
      <c r="F27" s="3" t="s">
        <v>114</v>
      </c>
      <c r="G27" s="7" t="s">
        <v>129</v>
      </c>
      <c r="H27" s="9" t="s">
        <v>39</v>
      </c>
      <c r="I27" s="3" t="s">
        <v>144</v>
      </c>
    </row>
    <row r="28" customFormat="false" ht="44.25" hidden="false" customHeight="true" outlineLevel="0" collapsed="false">
      <c r="A28" s="2" t="s">
        <v>145</v>
      </c>
      <c r="B28" s="3" t="s">
        <v>146</v>
      </c>
      <c r="C28" s="4" t="s">
        <v>147</v>
      </c>
      <c r="D28" s="3" t="s">
        <v>148</v>
      </c>
      <c r="E28" s="3" t="s">
        <v>149</v>
      </c>
      <c r="F28" s="3" t="s">
        <v>114</v>
      </c>
      <c r="G28" s="7" t="s">
        <v>129</v>
      </c>
      <c r="H28" s="9" t="s">
        <v>39</v>
      </c>
      <c r="I28" s="3" t="s">
        <v>150</v>
      </c>
    </row>
    <row r="29" customFormat="false" ht="44.25" hidden="false" customHeight="true" outlineLevel="0" collapsed="false">
      <c r="A29" s="2" t="s">
        <v>151</v>
      </c>
      <c r="B29" s="3" t="s">
        <v>152</v>
      </c>
      <c r="C29" s="4" t="s">
        <v>153</v>
      </c>
      <c r="D29" s="3" t="s">
        <v>154</v>
      </c>
      <c r="E29" s="3" t="s">
        <v>155</v>
      </c>
      <c r="F29" s="3" t="s">
        <v>114</v>
      </c>
      <c r="G29" s="7" t="s">
        <v>129</v>
      </c>
      <c r="H29" s="8" t="s">
        <v>29</v>
      </c>
      <c r="I29" s="3" t="s">
        <v>156</v>
      </c>
    </row>
    <row r="30" customFormat="false" ht="44.25" hidden="false" customHeight="true" outlineLevel="0" collapsed="false">
      <c r="A30" s="2" t="s">
        <v>157</v>
      </c>
      <c r="B30" s="3" t="s">
        <v>125</v>
      </c>
      <c r="C30" s="4" t="s">
        <v>126</v>
      </c>
      <c r="D30" s="3" t="s">
        <v>127</v>
      </c>
      <c r="E30" s="3" t="s">
        <v>158</v>
      </c>
      <c r="F30" s="3" t="s">
        <v>114</v>
      </c>
      <c r="G30" s="7" t="s">
        <v>129</v>
      </c>
      <c r="H30" s="8" t="s">
        <v>29</v>
      </c>
      <c r="I30" s="3" t="s">
        <v>156</v>
      </c>
    </row>
    <row r="31" customFormat="false" ht="44.25" hidden="false" customHeight="true" outlineLevel="0" collapsed="false">
      <c r="A31" s="2" t="s">
        <v>159</v>
      </c>
      <c r="B31" s="3" t="s">
        <v>160</v>
      </c>
      <c r="C31" s="4" t="s">
        <v>161</v>
      </c>
      <c r="D31" s="3" t="s">
        <v>162</v>
      </c>
      <c r="E31" s="3" t="s">
        <v>163</v>
      </c>
      <c r="F31" s="3" t="s">
        <v>114</v>
      </c>
      <c r="G31" s="7" t="s">
        <v>129</v>
      </c>
      <c r="H31" s="8" t="s">
        <v>29</v>
      </c>
      <c r="I31" s="3" t="s">
        <v>164</v>
      </c>
    </row>
    <row r="32" customFormat="false" ht="44.25" hidden="false" customHeight="true" outlineLevel="0" collapsed="false">
      <c r="A32" s="2" t="s">
        <v>165</v>
      </c>
      <c r="B32" s="3" t="s">
        <v>125</v>
      </c>
      <c r="C32" s="4" t="s">
        <v>126</v>
      </c>
      <c r="D32" s="3" t="s">
        <v>127</v>
      </c>
      <c r="E32" s="3" t="s">
        <v>166</v>
      </c>
      <c r="F32" s="3" t="s">
        <v>114</v>
      </c>
      <c r="G32" s="7" t="s">
        <v>129</v>
      </c>
      <c r="H32" s="8" t="s">
        <v>29</v>
      </c>
      <c r="I32" s="3" t="s">
        <v>167</v>
      </c>
    </row>
    <row r="33" customFormat="false" ht="44.25" hidden="false" customHeight="true" outlineLevel="0" collapsed="false">
      <c r="A33" s="2" t="s">
        <v>168</v>
      </c>
      <c r="B33" s="3" t="s">
        <v>125</v>
      </c>
      <c r="C33" s="4" t="s">
        <v>126</v>
      </c>
      <c r="D33" s="3" t="s">
        <v>127</v>
      </c>
      <c r="E33" s="3" t="s">
        <v>169</v>
      </c>
      <c r="F33" s="3" t="s">
        <v>114</v>
      </c>
      <c r="G33" s="7" t="s">
        <v>129</v>
      </c>
      <c r="H33" s="9" t="s">
        <v>39</v>
      </c>
      <c r="I33" s="3" t="s">
        <v>170</v>
      </c>
    </row>
    <row r="34" customFormat="false" ht="44.25" hidden="false" customHeight="true" outlineLevel="0" collapsed="false">
      <c r="A34" s="2" t="s">
        <v>171</v>
      </c>
      <c r="B34" s="3" t="s">
        <v>125</v>
      </c>
      <c r="C34" s="4" t="s">
        <v>126</v>
      </c>
      <c r="D34" s="3" t="s">
        <v>127</v>
      </c>
      <c r="E34" s="3" t="s">
        <v>141</v>
      </c>
      <c r="F34" s="3" t="s">
        <v>114</v>
      </c>
      <c r="G34" s="7" t="s">
        <v>129</v>
      </c>
      <c r="H34" s="9" t="s">
        <v>39</v>
      </c>
      <c r="I34" s="3" t="s">
        <v>172</v>
      </c>
    </row>
    <row r="35" customFormat="false" ht="44.25" hidden="false" customHeight="true" outlineLevel="0" collapsed="false">
      <c r="A35" s="2" t="s">
        <v>173</v>
      </c>
      <c r="B35" s="3" t="s">
        <v>174</v>
      </c>
      <c r="C35" s="4" t="s">
        <v>175</v>
      </c>
      <c r="D35" s="3" t="s">
        <v>176</v>
      </c>
      <c r="E35" s="3" t="s">
        <v>177</v>
      </c>
      <c r="F35" s="3" t="s">
        <v>114</v>
      </c>
      <c r="G35" s="7" t="s">
        <v>178</v>
      </c>
      <c r="H35" s="6" t="s">
        <v>16</v>
      </c>
      <c r="I35" s="3" t="s">
        <v>179</v>
      </c>
    </row>
    <row r="36" customFormat="false" ht="44.25" hidden="false" customHeight="true" outlineLevel="0" collapsed="false">
      <c r="A36" s="2" t="s">
        <v>180</v>
      </c>
      <c r="B36" s="3" t="s">
        <v>135</v>
      </c>
      <c r="C36" s="4" t="s">
        <v>136</v>
      </c>
      <c r="D36" s="3" t="s">
        <v>137</v>
      </c>
      <c r="E36" s="3" t="s">
        <v>181</v>
      </c>
      <c r="F36" s="3" t="s">
        <v>114</v>
      </c>
      <c r="G36" s="7" t="s">
        <v>129</v>
      </c>
      <c r="H36" s="6" t="s">
        <v>16</v>
      </c>
      <c r="I36" s="3" t="s">
        <v>182</v>
      </c>
    </row>
  </sheetData>
  <autoFilter ref="A1:I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32.8" hidden="false" customHeight="false" outlineLevel="0" collapsed="false">
      <c r="A1" s="11" t="s">
        <v>183</v>
      </c>
      <c r="B1" s="12"/>
    </row>
    <row r="2" customFormat="false" ht="42" hidden="false" customHeight="true" outlineLevel="0" collapsed="false">
      <c r="A2" s="13" t="s">
        <v>184</v>
      </c>
      <c r="B2" s="12" t="s">
        <v>185</v>
      </c>
    </row>
    <row r="3" customFormat="false" ht="15" hidden="false" customHeight="false" outlineLevel="0" collapsed="false">
      <c r="A3" s="12"/>
      <c r="B3" s="12"/>
    </row>
    <row r="4" customFormat="false" ht="15" hidden="false" customHeight="false" outlineLevel="0" collapsed="false">
      <c r="A4" s="14" t="s">
        <v>186</v>
      </c>
      <c r="B4" s="14" t="s">
        <v>187</v>
      </c>
    </row>
    <row r="5" customFormat="false" ht="15" hidden="false" customHeight="false" outlineLevel="0" collapsed="false">
      <c r="A5" s="13" t="s">
        <v>0</v>
      </c>
      <c r="B5" s="12" t="s">
        <v>188</v>
      </c>
    </row>
    <row r="6" customFormat="false" ht="15" hidden="false" customHeight="false" outlineLevel="0" collapsed="false">
      <c r="A6" s="13" t="s">
        <v>1</v>
      </c>
      <c r="B6" s="12" t="s">
        <v>189</v>
      </c>
    </row>
    <row r="7" customFormat="false" ht="15" hidden="false" customHeight="false" outlineLevel="0" collapsed="false">
      <c r="A7" s="13" t="s">
        <v>2</v>
      </c>
      <c r="B7" s="12" t="s">
        <v>190</v>
      </c>
    </row>
    <row r="8" customFormat="false" ht="15" hidden="false" customHeight="false" outlineLevel="0" collapsed="false">
      <c r="A8" s="13" t="s">
        <v>3</v>
      </c>
      <c r="B8" s="12" t="s">
        <v>191</v>
      </c>
    </row>
    <row r="9" customFormat="false" ht="15" hidden="false" customHeight="false" outlineLevel="0" collapsed="false">
      <c r="A9" s="13" t="s">
        <v>4</v>
      </c>
      <c r="B9" s="12" t="s">
        <v>192</v>
      </c>
    </row>
    <row r="10" customFormat="false" ht="15" hidden="false" customHeight="false" outlineLevel="0" collapsed="false">
      <c r="A10" s="13" t="s">
        <v>5</v>
      </c>
      <c r="B10" s="12" t="s">
        <v>193</v>
      </c>
    </row>
    <row r="11" customFormat="false" ht="15" hidden="false" customHeight="false" outlineLevel="0" collapsed="false">
      <c r="A11" s="13" t="s">
        <v>6</v>
      </c>
      <c r="B11" s="12" t="s">
        <v>194</v>
      </c>
    </row>
    <row r="12" customFormat="false" ht="23.85" hidden="false" customHeight="false" outlineLevel="0" collapsed="false">
      <c r="A12" s="13" t="s">
        <v>7</v>
      </c>
      <c r="B12" s="12" t="s">
        <v>195</v>
      </c>
    </row>
    <row r="13" customFormat="false" ht="15" hidden="false" customHeight="false" outlineLevel="0" collapsed="false">
      <c r="A13" s="13" t="s">
        <v>8</v>
      </c>
      <c r="B13" s="12" t="s">
        <v>196</v>
      </c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3" t="s">
        <v>197</v>
      </c>
      <c r="B15" s="12" t="s">
        <v>198</v>
      </c>
    </row>
    <row r="16" customFormat="false" ht="15" hidden="false" customHeight="false" outlineLevel="0" collapsed="false">
      <c r="A16" s="13" t="s">
        <v>199</v>
      </c>
      <c r="B16" s="12" t="s">
        <v>200</v>
      </c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4" t="s">
        <v>201</v>
      </c>
      <c r="B18" s="14" t="s">
        <v>202</v>
      </c>
    </row>
    <row r="19" customFormat="false" ht="15" hidden="false" customHeight="false" outlineLevel="0" collapsed="false">
      <c r="A19" s="15" t="s">
        <v>203</v>
      </c>
      <c r="B19" s="12" t="n">
        <f aca="false">COUNTIF(Matriz!H:H,"*CRÍTICO*")</f>
        <v>6</v>
      </c>
    </row>
    <row r="20" customFormat="false" ht="15" hidden="false" customHeight="false" outlineLevel="0" collapsed="false">
      <c r="A20" s="16" t="s">
        <v>204</v>
      </c>
      <c r="B20" s="12" t="n">
        <f aca="false">COUNTIF(Matriz!H:H,"*ALTO*")</f>
        <v>5</v>
      </c>
    </row>
    <row r="21" customFormat="false" ht="15" hidden="false" customHeight="false" outlineLevel="0" collapsed="false">
      <c r="A21" s="17" t="s">
        <v>205</v>
      </c>
      <c r="B21" s="12" t="n">
        <f aca="false">COUNTIF(Matriz!H:H,"*MEDIO*")</f>
        <v>11</v>
      </c>
    </row>
    <row r="22" customFormat="false" ht="15" hidden="false" customHeight="false" outlineLevel="0" collapsed="false">
      <c r="A22" s="18" t="s">
        <v>206</v>
      </c>
      <c r="B22" s="12" t="n">
        <f aca="false">COUNTIF(Matriz!H:H,"*BAJO*")</f>
        <v>13</v>
      </c>
    </row>
    <row r="23" customFormat="false" ht="15" hidden="false" customHeight="false" outlineLevel="0" collapsed="false">
      <c r="A23" s="13" t="s">
        <v>207</v>
      </c>
      <c r="B23" s="12" t="n">
        <f aca="false">COUNTA(Matriz!A:A)-1</f>
        <v>35</v>
      </c>
    </row>
    <row r="24" customFormat="false" ht="15" hidden="false" customHeight="false" outlineLevel="0" collapsed="false">
      <c r="A24" s="13" t="s">
        <v>208</v>
      </c>
      <c r="B24" s="12" t="n">
        <f aca="false">COUNTIF(Matriz!G:G,"APROBADO*")</f>
        <v>31</v>
      </c>
    </row>
    <row r="25" customFormat="false" ht="15" hidden="false" customHeight="false" outlineLevel="0" collapsed="false">
      <c r="A25" s="13" t="s">
        <v>209</v>
      </c>
      <c r="B25" s="12" t="n">
        <f aca="false">COUNTIF(Matriz!G:G,"PENDIENTE*")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2026-10-25T18:48:56Z</dcterms:created>
  <dc:creator>openpyxl</dc:creator>
  <dc:description/>
  <dc:language>en-US</dc:language>
  <cp:lastModifiedBy/>
  <dcterms:modified xsi:type="dcterms:W3CDTF">2026-10-25T18:48:56Z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